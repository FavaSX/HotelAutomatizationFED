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Riesgo" sheetId="1" r:id="rId4"/>
  </sheets>
  <definedNames/>
  <calcPr/>
  <extLst>
    <ext uri="GoogleSheetsCustomDataVersion2">
      <go:sheetsCustomData xmlns:go="http://customooxmlschemas.google.com/" r:id="rId5" roundtripDataChecksum="d+wjlKky44ZfeM487eMi+eq5MVdI0U9Mx6tT4GnFB1o="/>
    </ext>
  </extLst>
</workbook>
</file>

<file path=xl/sharedStrings.xml><?xml version="1.0" encoding="utf-8"?>
<sst xmlns="http://schemas.openxmlformats.org/spreadsheetml/2006/main" count="62" uniqueCount="52">
  <si>
    <t>ID</t>
  </si>
  <si>
    <t>Riesgo</t>
  </si>
  <si>
    <t>Categoría</t>
  </si>
  <si>
    <t>Probabilidad (1-5)</t>
  </si>
  <si>
    <t>Impacto (1-5)</t>
  </si>
  <si>
    <t>Nivel de Riesgo</t>
  </si>
  <si>
    <t>Clasificación</t>
  </si>
  <si>
    <t>Plan de Mitigación</t>
  </si>
  <si>
    <t>Responsable</t>
  </si>
  <si>
    <t>R1</t>
  </si>
  <si>
    <t>Los insumos (cartola, Transbank, bordero) llegan con formato inconsistente o corrupto</t>
  </si>
  <si>
    <t>Técnico</t>
  </si>
  <si>
    <t>Validar formato de archivo en la carga (CU-02) y definir manejo explícito de errores antes de procesar.</t>
  </si>
  <si>
    <t>Fabián Araya</t>
  </si>
  <si>
    <t>R2</t>
  </si>
  <si>
    <t>Falta de acceso oportuno a nuevos insumos reales por parte del cliente para pruebas</t>
  </si>
  <si>
    <t>Cliente</t>
  </si>
  <si>
    <t>Coordinar con el cliente un cronograma de entrega de insumos de prueba desde el inicio del proyecto.</t>
  </si>
  <si>
    <t>R3</t>
  </si>
  <si>
    <t>El banco, Transbank o el ERP cambian el formato de sus reportes sin aviso previo</t>
  </si>
  <si>
    <t>Diseñar el módulo de normalización de forma desacoplada, para poder ajustar el parser sin afectar el resto del sistema.</t>
  </si>
  <si>
    <t>Diego Reyes</t>
  </si>
  <si>
    <t>R4</t>
  </si>
  <si>
    <t>El parámetro de tolerancia queda mal calibrado y genera falsos positivos o negativos</t>
  </si>
  <si>
    <t>Funcional</t>
  </si>
  <si>
    <t>Validar el parámetro con datos históricos reales antes de la puesta en marcha, y dejarlo configurable.</t>
  </si>
  <si>
    <t>Eva Gonzalez</t>
  </si>
  <si>
    <t>R5</t>
  </si>
  <si>
    <t>Retrasos en el desarrollo por carga académica simultánea de los integrantes</t>
  </si>
  <si>
    <t>Planificación</t>
  </si>
  <si>
    <t>Definir hitos y plazos con margen en la Carta Gantt, y hacer seguimiento semanal de avance.</t>
  </si>
  <si>
    <t>R6</t>
  </si>
  <si>
    <t>No se define a tiempo el hosting/despliegue final del sistema</t>
  </si>
  <si>
    <t>Definir la opción de hosting en conjunto con el cliente durante la fase de desarrollo, no al final.</t>
  </si>
  <si>
    <t>R7</t>
  </si>
  <si>
    <t>Uno de los integrantes se atrasa o no completa su parte asignada</t>
  </si>
  <si>
    <t>Equipo</t>
  </si>
  <si>
    <t>Distribuir tareas con la Matriz RACI y hacer checkpoints periódicos para detectar atrasos a tiempo.</t>
  </si>
  <si>
    <t>R8</t>
  </si>
  <si>
    <t>SQLite resulta insuficiente si el volumen de datos crece más de lo esperado</t>
  </si>
  <si>
    <t>Diseñar el acceso a datos mediante el ORM de Django, de forma que migrar a otro motor sea directo si es necesario.</t>
  </si>
  <si>
    <t>R9</t>
  </si>
  <si>
    <t>Exposición de información financiera sensible por falta de controles de seguridad</t>
  </si>
  <si>
    <t>Seguridad</t>
  </si>
  <si>
    <t>Implementar autenticación obligatoria (CU1) y restringir el acceso solo a usuarios autorizados.</t>
  </si>
  <si>
    <t>R10</t>
  </si>
  <si>
    <t>El cliente solicita cambios de alcance a mitad del proyecto</t>
  </si>
  <si>
    <t>Alcance</t>
  </si>
  <si>
    <t>Dejar explícito el documento de Alcance y Fuera de Alcance firmado/aprobado antes de iniciar el desarrollo.</t>
  </si>
  <si>
    <t>Escala:</t>
  </si>
  <si>
    <t>Probabilidad / Impacto: 1 = Muy bajo, 2 = Bajo, 3 = Medio, 4 = Alto, 5 = Muy alto</t>
  </si>
  <si>
    <t>Nivel de Riesgo = Probabilidad x Impacto  |  Bajo: 1-6  ·  Medio: 7-14  ·  Alto: 15-25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</si>
</sst>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i/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E4A7D"/>
        <bgColor rgb="FF2E4A7D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42.0"/>
    <col customWidth="1" min="3" max="4" width="14.0"/>
    <col customWidth="1" min="5" max="5" width="12.0"/>
    <col customWidth="1" min="6" max="7" width="13.0"/>
    <col customWidth="1" min="8" max="8" width="48.0"/>
    <col customWidth="1" min="9" max="9" width="20.0"/>
    <col customWidth="1" min="10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5.0" customHeight="1">
      <c r="A2" s="2" t="s">
        <v>9</v>
      </c>
      <c r="B2" s="3" t="s">
        <v>10</v>
      </c>
      <c r="C2" s="4" t="s">
        <v>11</v>
      </c>
      <c r="D2" s="4">
        <v>3.0</v>
      </c>
      <c r="E2" s="4">
        <v>4.0</v>
      </c>
      <c r="F2" s="4">
        <f t="shared" ref="F2:F11" si="1">D2*E2</f>
        <v>12</v>
      </c>
      <c r="G2" s="4" t="str">
        <f t="shared" ref="G2:G11" si="2">IF(F2&gt;=15,"Alto",IF(F2&gt;=7,"Medio","Bajo"))</f>
        <v>Medio</v>
      </c>
      <c r="H2" s="3" t="s">
        <v>12</v>
      </c>
      <c r="I2" s="2" t="s">
        <v>13</v>
      </c>
    </row>
    <row r="3" ht="45.0" customHeight="1">
      <c r="A3" s="2" t="s">
        <v>14</v>
      </c>
      <c r="B3" s="3" t="s">
        <v>15</v>
      </c>
      <c r="C3" s="4" t="s">
        <v>16</v>
      </c>
      <c r="D3" s="4">
        <v>3.0</v>
      </c>
      <c r="E3" s="4">
        <v>3.0</v>
      </c>
      <c r="F3" s="4">
        <f t="shared" si="1"/>
        <v>9</v>
      </c>
      <c r="G3" s="4" t="str">
        <f t="shared" si="2"/>
        <v>Medio</v>
      </c>
      <c r="H3" s="3" t="s">
        <v>17</v>
      </c>
      <c r="I3" s="2" t="s">
        <v>13</v>
      </c>
    </row>
    <row r="4" ht="45.0" customHeight="1">
      <c r="A4" s="2" t="s">
        <v>18</v>
      </c>
      <c r="B4" s="3" t="s">
        <v>19</v>
      </c>
      <c r="C4" s="4" t="s">
        <v>11</v>
      </c>
      <c r="D4" s="4">
        <v>2.0</v>
      </c>
      <c r="E4" s="4">
        <v>4.0</v>
      </c>
      <c r="F4" s="4">
        <f t="shared" si="1"/>
        <v>8</v>
      </c>
      <c r="G4" s="4" t="str">
        <f t="shared" si="2"/>
        <v>Medio</v>
      </c>
      <c r="H4" s="3" t="s">
        <v>20</v>
      </c>
      <c r="I4" s="2" t="s">
        <v>21</v>
      </c>
    </row>
    <row r="5" ht="45.0" customHeight="1">
      <c r="A5" s="2" t="s">
        <v>22</v>
      </c>
      <c r="B5" s="3" t="s">
        <v>23</v>
      </c>
      <c r="C5" s="4" t="s">
        <v>24</v>
      </c>
      <c r="D5" s="4">
        <v>3.0</v>
      </c>
      <c r="E5" s="4">
        <v>4.0</v>
      </c>
      <c r="F5" s="4">
        <f t="shared" si="1"/>
        <v>12</v>
      </c>
      <c r="G5" s="4" t="str">
        <f t="shared" si="2"/>
        <v>Medio</v>
      </c>
      <c r="H5" s="3" t="s">
        <v>25</v>
      </c>
      <c r="I5" s="2" t="s">
        <v>26</v>
      </c>
    </row>
    <row r="6" ht="45.0" customHeight="1">
      <c r="A6" s="2" t="s">
        <v>27</v>
      </c>
      <c r="B6" s="3" t="s">
        <v>28</v>
      </c>
      <c r="C6" s="4" t="s">
        <v>29</v>
      </c>
      <c r="D6" s="4">
        <v>4.0</v>
      </c>
      <c r="E6" s="4">
        <v>3.0</v>
      </c>
      <c r="F6" s="4">
        <f t="shared" si="1"/>
        <v>12</v>
      </c>
      <c r="G6" s="4" t="str">
        <f t="shared" si="2"/>
        <v>Medio</v>
      </c>
      <c r="H6" s="3" t="s">
        <v>30</v>
      </c>
      <c r="I6" s="2" t="s">
        <v>13</v>
      </c>
    </row>
    <row r="7" ht="45.0" customHeight="1">
      <c r="A7" s="2" t="s">
        <v>31</v>
      </c>
      <c r="B7" s="3" t="s">
        <v>32</v>
      </c>
      <c r="C7" s="4" t="s">
        <v>11</v>
      </c>
      <c r="D7" s="4">
        <v>3.0</v>
      </c>
      <c r="E7" s="4">
        <v>2.0</v>
      </c>
      <c r="F7" s="4">
        <f t="shared" si="1"/>
        <v>6</v>
      </c>
      <c r="G7" s="4" t="str">
        <f t="shared" si="2"/>
        <v>Bajo</v>
      </c>
      <c r="H7" s="3" t="s">
        <v>33</v>
      </c>
      <c r="I7" s="2" t="s">
        <v>13</v>
      </c>
    </row>
    <row r="8" ht="45.0" customHeight="1">
      <c r="A8" s="2" t="s">
        <v>34</v>
      </c>
      <c r="B8" s="3" t="s">
        <v>35</v>
      </c>
      <c r="C8" s="4" t="s">
        <v>36</v>
      </c>
      <c r="D8" s="4">
        <v>2.0</v>
      </c>
      <c r="E8" s="4">
        <v>4.0</v>
      </c>
      <c r="F8" s="4">
        <f t="shared" si="1"/>
        <v>8</v>
      </c>
      <c r="G8" s="4" t="str">
        <f t="shared" si="2"/>
        <v>Medio</v>
      </c>
      <c r="H8" s="3" t="s">
        <v>37</v>
      </c>
      <c r="I8" s="2" t="s">
        <v>13</v>
      </c>
    </row>
    <row r="9" ht="45.0" customHeight="1">
      <c r="A9" s="2" t="s">
        <v>38</v>
      </c>
      <c r="B9" s="3" t="s">
        <v>39</v>
      </c>
      <c r="C9" s="4" t="s">
        <v>11</v>
      </c>
      <c r="D9" s="4">
        <v>2.0</v>
      </c>
      <c r="E9" s="4">
        <v>3.0</v>
      </c>
      <c r="F9" s="4">
        <f t="shared" si="1"/>
        <v>6</v>
      </c>
      <c r="G9" s="4" t="str">
        <f t="shared" si="2"/>
        <v>Bajo</v>
      </c>
      <c r="H9" s="3" t="s">
        <v>40</v>
      </c>
      <c r="I9" s="2" t="s">
        <v>26</v>
      </c>
    </row>
    <row r="10" ht="45.0" customHeight="1">
      <c r="A10" s="2" t="s">
        <v>41</v>
      </c>
      <c r="B10" s="3" t="s">
        <v>42</v>
      </c>
      <c r="C10" s="4" t="s">
        <v>43</v>
      </c>
      <c r="D10" s="4">
        <v>2.0</v>
      </c>
      <c r="E10" s="4">
        <v>5.0</v>
      </c>
      <c r="F10" s="4">
        <f t="shared" si="1"/>
        <v>10</v>
      </c>
      <c r="G10" s="4" t="str">
        <f t="shared" si="2"/>
        <v>Medio</v>
      </c>
      <c r="H10" s="5" t="s">
        <v>44</v>
      </c>
      <c r="I10" s="2" t="s">
        <v>21</v>
      </c>
    </row>
    <row r="11" ht="45.0" customHeight="1">
      <c r="A11" s="2" t="s">
        <v>45</v>
      </c>
      <c r="B11" s="3" t="s">
        <v>46</v>
      </c>
      <c r="C11" s="4" t="s">
        <v>47</v>
      </c>
      <c r="D11" s="4">
        <v>3.0</v>
      </c>
      <c r="E11" s="4">
        <v>3.0</v>
      </c>
      <c r="F11" s="4">
        <f t="shared" si="1"/>
        <v>9</v>
      </c>
      <c r="G11" s="4" t="str">
        <f t="shared" si="2"/>
        <v>Medio</v>
      </c>
      <c r="H11" s="3" t="s">
        <v>48</v>
      </c>
      <c r="I11" s="2" t="s">
        <v>26</v>
      </c>
    </row>
    <row r="13">
      <c r="A13" s="6" t="s">
        <v>49</v>
      </c>
    </row>
    <row r="14">
      <c r="A14" s="7" t="s">
        <v>50</v>
      </c>
    </row>
    <row r="15">
      <c r="A15" s="7" t="s">
        <v>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F2:F11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/>
  <pageMargins bottom="1.0" footer="0.0" header="0.0" left="0.75" right="0.75" top="1.0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2026-09-11T20:34:55Z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